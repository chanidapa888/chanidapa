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Excel Project\"/>
    </mc:Choice>
  </mc:AlternateContent>
  <xr:revisionPtr revIDLastSave="0" documentId="13_ncr:1_{D695B139-2E36-41C8-8770-422E626202A7}" xr6:coauthVersionLast="47" xr6:coauthVersionMax="47" xr10:uidLastSave="{00000000-0000-0000-0000-000000000000}"/>
  <bookViews>
    <workbookView xWindow="-120" yWindow="-120" windowWidth="29040" windowHeight="15840" activeTab="3" xr2:uid="{19E7DF89-74AC-4A9D-86DE-11DEA69F4E1F}"/>
  </bookViews>
  <sheets>
    <sheet name="MasterData" sheetId="1" r:id="rId1"/>
    <sheet name="SalaryData" sheetId="2" r:id="rId2"/>
    <sheet name="SlipTemplate" sheetId="3" r:id="rId3"/>
    <sheet name="สมาชิก" sheetId="5" r:id="rId4"/>
  </sheets>
  <definedNames>
    <definedName name="_xlnm.Print_Area" localSheetId="2">SlipTemplate!$A$1:$B$12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3" l="1"/>
  <c r="B12" i="3" s="1"/>
</calcChain>
</file>

<file path=xl/sharedStrings.xml><?xml version="1.0" encoding="utf-8"?>
<sst xmlns="http://schemas.openxmlformats.org/spreadsheetml/2006/main" count="185" uniqueCount="98">
  <si>
    <t>EmployeeID</t>
  </si>
  <si>
    <t>พนักงาน</t>
  </si>
  <si>
    <t>กิตติชัย เจริญ</t>
  </si>
  <si>
    <t>สมหญิง แก้วทอง</t>
  </si>
  <si>
    <t xml:space="preserve">สมชาย ใจดี         </t>
  </si>
  <si>
    <t xml:space="preserve">วิทยา สาระดี  </t>
  </si>
  <si>
    <t xml:space="preserve">ปรียา ศรีสวัสดิ์ </t>
  </si>
  <si>
    <t xml:space="preserve">กิตติพงษ์ สุขใจ </t>
  </si>
  <si>
    <t>นภัสสร แสงทอง</t>
  </si>
  <si>
    <t xml:space="preserve">จิรภัทร มณี   </t>
  </si>
  <si>
    <t xml:space="preserve">สราวุธ แก้วแสง  </t>
  </si>
  <si>
    <t>ธนกฤต ชำนาญ</t>
  </si>
  <si>
    <t>ปาริฉัตร ใจงาม</t>
  </si>
  <si>
    <t>กฤษฎา สมบูรณ์</t>
  </si>
  <si>
    <t>อรทัย แก้วมณี</t>
  </si>
  <si>
    <t xml:space="preserve">วรินทร แสงจันทร์ </t>
  </si>
  <si>
    <t>สุนิสา สุขสวัสดิ์</t>
  </si>
  <si>
    <t>ปิติภัทร เจริญ</t>
  </si>
  <si>
    <t>ธนวัฒน์ แสงทอง</t>
  </si>
  <si>
    <t xml:space="preserve">พัชราภรณ์ ศรีทอง </t>
  </si>
  <si>
    <t xml:space="preserve">ณัฐพล แก้วใจ </t>
  </si>
  <si>
    <t>วาสนา สุขใจ</t>
  </si>
  <si>
    <t xml:space="preserve">ศราวุธ ใจงาม   </t>
  </si>
  <si>
    <t>ปัญญา แสงสว่าง</t>
  </si>
  <si>
    <t xml:space="preserve">อภิสิทธิ์ มณี </t>
  </si>
  <si>
    <t xml:space="preserve">ศิริพร แก้วแสง </t>
  </si>
  <si>
    <t>พงษ์เทพ สุขสวัสดิ์</t>
  </si>
  <si>
    <t>ชุติมา ศรีทอง</t>
  </si>
  <si>
    <t xml:space="preserve">ธนภัทร แสงทอง </t>
  </si>
  <si>
    <t>สุนิสา แก้วมณี</t>
  </si>
  <si>
    <t>วรวิทย์ สุขใจ</t>
  </si>
  <si>
    <t>พิมพ์ชนก แสงสว่าง</t>
  </si>
  <si>
    <t>E001</t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</si>
  <si>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</si>
  <si>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</si>
  <si>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</si>
  <si>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</si>
  <si>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</si>
  <si>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</si>
  <si>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</si>
  <si>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</si>
  <si>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</si>
  <si>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</si>
  <si>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</si>
  <si>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</si>
  <si>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</si>
  <si>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</si>
  <si>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</si>
  <si>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</si>
  <si>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</si>
  <si>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</si>
  <si>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</si>
  <si>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</si>
  <si>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</si>
  <si>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</si>
  <si>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</si>
  <si>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</si>
  <si>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</si>
  <si>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</si>
  <si>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</si>
  <si>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</si>
  <si>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</si>
  <si>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เจ้าหน้าที่</t>
  </si>
  <si>
    <t>ผู้จัดการ</t>
  </si>
  <si>
    <t>Accounting</t>
  </si>
  <si>
    <t>HR</t>
  </si>
  <si>
    <t>IT</t>
  </si>
  <si>
    <t>Marketing</t>
  </si>
  <si>
    <t>OT</t>
  </si>
  <si>
    <t>สลิปเงินเดือน</t>
  </si>
  <si>
    <t>Name</t>
  </si>
  <si>
    <t>Position</t>
  </si>
  <si>
    <t>Department</t>
  </si>
  <si>
    <t>Salary</t>
  </si>
  <si>
    <t>Allowance</t>
  </si>
  <si>
    <t>Month</t>
  </si>
  <si>
    <t>WorkDay</t>
  </si>
  <si>
    <t>LeaveDeduction</t>
  </si>
  <si>
    <t>AbsenceDeduction</t>
  </si>
  <si>
    <t>Bonus</t>
  </si>
  <si>
    <t>Name :</t>
  </si>
  <si>
    <t>Position :</t>
  </si>
  <si>
    <t>Department :</t>
  </si>
  <si>
    <t xml:space="preserve">Salary : </t>
  </si>
  <si>
    <t>OT :</t>
  </si>
  <si>
    <t>Allowance :</t>
  </si>
  <si>
    <t>Leave Deduction :</t>
  </si>
  <si>
    <t>Absence Deduction :</t>
  </si>
  <si>
    <t xml:space="preserve">Bonus : </t>
  </si>
  <si>
    <t>Net Salary :</t>
  </si>
  <si>
    <t xml:space="preserve">Amount  : </t>
  </si>
  <si>
    <t>รหัสนักศึกษา</t>
  </si>
  <si>
    <t>ชื่อ-นามสกุล</t>
  </si>
  <si>
    <t>หมู่</t>
  </si>
  <si>
    <t>สมาชิกในกลุ่ม</t>
  </si>
  <si>
    <t>นางสาวภาณุมาศ หอมดวง</t>
  </si>
  <si>
    <t>นางสาวบุษกร วัฒกี</t>
  </si>
  <si>
    <t>นางสาวชนิดาภา อุดมรัชตานนท์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</si>
</sst>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87" formatCode="_(* #,##0_);_(* \(#,##0\);_(* &quot;-&quot;??_);_(@_)"/>
  </numFmts>
  <fonts count="12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8"/>
      <name val="Tahoma"/>
      <family val="2"/>
      <scheme val="minor"/>
    </font>
    <font>
      <b/>
      <sz val="12"/>
      <color theme="1"/>
      <name val="Tahoma"/>
      <family val="2"/>
      <scheme val="minor"/>
    </font>
    <font>
      <sz val="12"/>
      <name val="Tahoma"/>
      <family val="2"/>
      <scheme val="minor"/>
    </font>
    <font>
      <sz val="12"/>
      <color theme="1"/>
      <name val="Tahoma"/>
      <family val="2"/>
      <scheme val="minor"/>
    </font>
    <font>
      <sz val="16"/>
      <color theme="1"/>
      <name val="Angsana New"/>
      <family val="1"/>
    </font>
    <font>
      <b/>
      <sz val="36"/>
      <color theme="1"/>
      <name val="Angsana New"/>
      <family val="1"/>
    </font>
    <font>
      <sz val="24"/>
      <color theme="1"/>
      <name val="Angsana New"/>
      <family val="1"/>
    </font>
    <font>
      <b/>
      <sz val="24"/>
      <color theme="1"/>
      <name val="Angsana New"/>
      <family val="1"/>
    </font>
    <font>
      <sz val="22"/>
      <color theme="1"/>
      <name val="Angsana New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87" fontId="0" fillId="0" borderId="0" xfId="1" applyNumberFormat="1" applyFont="1"/>
    <xf numFmtId="0" fontId="2" fillId="0" borderId="0" xfId="0" applyFont="1"/>
    <xf numFmtId="0" fontId="4" fillId="0" borderId="0" xfId="0" applyFont="1" applyAlignment="1">
      <alignment horizontal="left"/>
    </xf>
    <xf numFmtId="0" fontId="0" fillId="0" borderId="0" xfId="0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7" fillId="0" borderId="1" xfId="0" applyFont="1" applyBorder="1"/>
    <xf numFmtId="0" fontId="7" fillId="0" borderId="1" xfId="0" applyFont="1" applyBorder="1" applyAlignment="1">
      <alignment horizontal="right"/>
    </xf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 wrapText="1"/>
    </xf>
    <xf numFmtId="43" fontId="7" fillId="0" borderId="1" xfId="1" applyFont="1" applyBorder="1" applyAlignment="1">
      <alignment horizontal="left"/>
    </xf>
    <xf numFmtId="43" fontId="7" fillId="0" borderId="1" xfId="1" applyFont="1" applyBorder="1" applyAlignment="1">
      <alignment horizontal="right"/>
    </xf>
    <xf numFmtId="0" fontId="7" fillId="3" borderId="1" xfId="0" applyFont="1" applyFill="1" applyBorder="1" applyAlignment="1">
      <alignment horizontal="center"/>
    </xf>
    <xf numFmtId="14" fontId="7" fillId="0" borderId="1" xfId="0" applyNumberFormat="1" applyFont="1" applyBorder="1" applyAlignment="1">
      <alignment horizontal="left"/>
    </xf>
    <xf numFmtId="1" fontId="7" fillId="0" borderId="1" xfId="1" applyNumberFormat="1" applyFont="1" applyBorder="1" applyAlignment="1">
      <alignment horizontal="right"/>
    </xf>
    <xf numFmtId="43" fontId="7" fillId="0" borderId="1" xfId="1" applyNumberFormat="1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Border="1"/>
    <xf numFmtId="0" fontId="10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right"/>
    </xf>
    <xf numFmtId="2" fontId="9" fillId="0" borderId="0" xfId="0" applyNumberFormat="1" applyFont="1" applyFill="1" applyBorder="1" applyAlignment="1">
      <alignment horizontal="right"/>
    </xf>
    <xf numFmtId="0" fontId="9" fillId="0" borderId="0" xfId="0" applyFont="1" applyFill="1" applyBorder="1"/>
    <xf numFmtId="0" fontId="9" fillId="0" borderId="0" xfId="0" applyFont="1" applyFill="1" applyBorder="1" applyAlignment="1">
      <alignment horizontal="right"/>
    </xf>
    <xf numFmtId="0" fontId="11" fillId="0" borderId="1" xfId="0" applyFont="1" applyBorder="1" applyAlignment="1">
      <alignment horizontal="center"/>
    </xf>
    <xf numFmtId="0" fontId="11" fillId="0" borderId="1" xfId="0" applyFont="1" applyBorder="1"/>
    <xf numFmtId="0" fontId="11" fillId="4" borderId="1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CCFF"/>
      <color rgb="FF0099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36856</xdr:colOff>
          <xdr:row>5</xdr:row>
          <xdr:rowOff>161514</xdr:rowOff>
        </xdr:from>
        <xdr:to>
          <xdr:col>7</xdr:col>
          <xdr:colOff>281608</xdr:colOff>
          <xdr:row>6</xdr:row>
          <xdr:rowOff>364435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สร้างสลิป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23190</xdr:rowOff>
        </xdr:from>
        <xdr:to>
          <xdr:col>7</xdr:col>
          <xdr:colOff>281607</xdr:colOff>
          <xdr:row>4</xdr:row>
          <xdr:rowOff>215347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สร้างสลิป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45139</xdr:colOff>
          <xdr:row>7</xdr:row>
          <xdr:rowOff>236055</xdr:rowOff>
        </xdr:from>
        <xdr:to>
          <xdr:col>7</xdr:col>
          <xdr:colOff>298173</xdr:colOff>
          <xdr:row>8</xdr:row>
          <xdr:rowOff>389282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th-TH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9B5B-EAAA-4D81-A335-CD27B789C42E}">
  <sheetPr codeName="Sheet1"/>
  <dimension ref="A1:G32"/>
  <sheetViews>
    <sheetView workbookViewId="0">
      <selection activeCell="B2" sqref="B2"/>
    </sheetView>
  </sheetViews>
  <sheetFormatPr defaultRowHeight="14.25" x14ac:dyDescent="0.2"/>
  <cols>
    <col min="1" max="1" width="10.75" bestFit="1" customWidth="1"/>
    <col min="2" max="2" width="15.75" bestFit="1" customWidth="1"/>
    <col min="3" max="3" width="14.875" customWidth="1"/>
    <col min="4" max="4" width="17.875" customWidth="1"/>
    <col min="5" max="5" width="13.125" bestFit="1" customWidth="1"/>
    <col min="6" max="6" width="11.125" customWidth="1"/>
  </cols>
  <sheetData>
    <row r="1" spans="1:7" ht="23.25" x14ac:dyDescent="0.5">
      <c r="A1" s="8" t="s">
        <v>0</v>
      </c>
      <c r="B1" s="8" t="s">
        <v>70</v>
      </c>
      <c r="C1" s="8" t="s">
        <v>71</v>
      </c>
      <c r="D1" s="8" t="s">
        <v>72</v>
      </c>
      <c r="E1" s="8" t="s">
        <v>73</v>
      </c>
      <c r="F1" s="8" t="s">
        <v>74</v>
      </c>
      <c r="G1" s="8" t="s">
        <v>79</v>
      </c>
    </row>
    <row r="2" spans="1:7" ht="23.25" x14ac:dyDescent="0.5">
      <c r="A2" s="9" t="s">
        <v>32</v>
      </c>
      <c r="B2" s="9" t="s">
        <v>4</v>
      </c>
      <c r="C2" s="10" t="s">
        <v>62</v>
      </c>
      <c r="D2" s="10" t="s">
        <v>65</v>
      </c>
      <c r="E2" s="14">
        <v>15000</v>
      </c>
      <c r="F2" s="14">
        <v>2000</v>
      </c>
      <c r="G2" s="15">
        <v>7200</v>
      </c>
    </row>
    <row r="3" spans="1:7" ht="23.25" x14ac:dyDescent="0.5">
      <c r="A3" s="9" t="s">
        <v>33</v>
      </c>
      <c r="B3" s="9" t="s">
        <v>3</v>
      </c>
      <c r="C3" s="10" t="s">
        <v>1</v>
      </c>
      <c r="D3" s="10" t="s">
        <v>66</v>
      </c>
      <c r="E3" s="14">
        <v>18000</v>
      </c>
      <c r="F3" s="14">
        <v>1500</v>
      </c>
      <c r="G3" s="15">
        <v>4800</v>
      </c>
    </row>
    <row r="4" spans="1:7" ht="23.25" x14ac:dyDescent="0.5">
      <c r="A4" s="9" t="s">
        <v>34</v>
      </c>
      <c r="B4" s="9" t="s">
        <v>5</v>
      </c>
      <c r="C4" s="10" t="s">
        <v>63</v>
      </c>
      <c r="D4" s="10" t="s">
        <v>66</v>
      </c>
      <c r="E4" s="14">
        <v>20000</v>
      </c>
      <c r="F4" s="14">
        <v>2500</v>
      </c>
      <c r="G4" s="15">
        <v>9500</v>
      </c>
    </row>
    <row r="5" spans="1:7" ht="23.25" x14ac:dyDescent="0.5">
      <c r="A5" s="9" t="s">
        <v>35</v>
      </c>
      <c r="B5" s="9" t="s">
        <v>6</v>
      </c>
      <c r="C5" s="10" t="s">
        <v>62</v>
      </c>
      <c r="D5" s="10" t="s">
        <v>65</v>
      </c>
      <c r="E5" s="14">
        <v>16000</v>
      </c>
      <c r="F5" s="14">
        <v>2000</v>
      </c>
      <c r="G5" s="15">
        <v>6700</v>
      </c>
    </row>
    <row r="6" spans="1:7" ht="23.25" x14ac:dyDescent="0.5">
      <c r="A6" s="9" t="s">
        <v>36</v>
      </c>
      <c r="B6" s="9" t="s">
        <v>7</v>
      </c>
      <c r="C6" s="10" t="s">
        <v>1</v>
      </c>
      <c r="D6" s="10" t="s">
        <v>64</v>
      </c>
      <c r="E6" s="14">
        <v>22000</v>
      </c>
      <c r="F6" s="14">
        <v>1500</v>
      </c>
      <c r="G6" s="15">
        <v>3900</v>
      </c>
    </row>
    <row r="7" spans="1:7" ht="23.25" x14ac:dyDescent="0.5">
      <c r="A7" s="9" t="s">
        <v>37</v>
      </c>
      <c r="B7" s="9" t="s">
        <v>8</v>
      </c>
      <c r="C7" s="10" t="s">
        <v>63</v>
      </c>
      <c r="D7" s="10" t="s">
        <v>64</v>
      </c>
      <c r="E7" s="14">
        <v>15500</v>
      </c>
      <c r="F7" s="14">
        <v>2500</v>
      </c>
      <c r="G7" s="15">
        <v>8200</v>
      </c>
    </row>
    <row r="8" spans="1:7" ht="23.25" x14ac:dyDescent="0.5">
      <c r="A8" s="9" t="s">
        <v>38</v>
      </c>
      <c r="B8" s="9" t="s">
        <v>9</v>
      </c>
      <c r="C8" s="10" t="s">
        <v>62</v>
      </c>
      <c r="D8" s="10" t="s">
        <v>66</v>
      </c>
      <c r="E8" s="14">
        <v>15800</v>
      </c>
      <c r="F8" s="14">
        <v>2000</v>
      </c>
      <c r="G8" s="15">
        <v>5100</v>
      </c>
    </row>
    <row r="9" spans="1:7" ht="23.25" x14ac:dyDescent="0.5">
      <c r="A9" s="9" t="s">
        <v>39</v>
      </c>
      <c r="B9" s="9" t="s">
        <v>10</v>
      </c>
      <c r="C9" s="12" t="s">
        <v>1</v>
      </c>
      <c r="D9" s="10" t="s">
        <v>65</v>
      </c>
      <c r="E9" s="14">
        <v>16200</v>
      </c>
      <c r="F9" s="14">
        <v>1500</v>
      </c>
      <c r="G9" s="15">
        <v>9000</v>
      </c>
    </row>
    <row r="10" spans="1:7" ht="23.25" x14ac:dyDescent="0.5">
      <c r="A10" s="9" t="s">
        <v>40</v>
      </c>
      <c r="B10" s="9" t="s">
        <v>11</v>
      </c>
      <c r="C10" s="10" t="s">
        <v>62</v>
      </c>
      <c r="D10" s="10" t="s">
        <v>67</v>
      </c>
      <c r="E10" s="14">
        <v>20500</v>
      </c>
      <c r="F10" s="14">
        <v>2000</v>
      </c>
      <c r="G10" s="15">
        <v>6300</v>
      </c>
    </row>
    <row r="11" spans="1:7" ht="23.25" x14ac:dyDescent="0.5">
      <c r="A11" s="9" t="s">
        <v>41</v>
      </c>
      <c r="B11" s="9" t="s">
        <v>12</v>
      </c>
      <c r="C11" s="10" t="s">
        <v>1</v>
      </c>
      <c r="D11" s="10" t="s">
        <v>67</v>
      </c>
      <c r="E11" s="14">
        <v>15800</v>
      </c>
      <c r="F11" s="14">
        <v>1500</v>
      </c>
      <c r="G11" s="15">
        <v>4500</v>
      </c>
    </row>
    <row r="12" spans="1:7" ht="23.25" x14ac:dyDescent="0.5">
      <c r="A12" s="9" t="s">
        <v>42</v>
      </c>
      <c r="B12" s="9" t="s">
        <v>13</v>
      </c>
      <c r="C12" s="10" t="s">
        <v>62</v>
      </c>
      <c r="D12" s="10" t="s">
        <v>65</v>
      </c>
      <c r="E12" s="14">
        <v>22500</v>
      </c>
      <c r="F12" s="14">
        <v>2000</v>
      </c>
      <c r="G12" s="15">
        <v>8400</v>
      </c>
    </row>
    <row r="13" spans="1:7" ht="23.25" x14ac:dyDescent="0.5">
      <c r="A13" s="9" t="s">
        <v>43</v>
      </c>
      <c r="B13" s="9" t="s">
        <v>14</v>
      </c>
      <c r="C13" s="10" t="s">
        <v>1</v>
      </c>
      <c r="D13" s="10" t="s">
        <v>66</v>
      </c>
      <c r="E13" s="14">
        <v>16000</v>
      </c>
      <c r="F13" s="14">
        <v>1500</v>
      </c>
      <c r="G13" s="15">
        <v>7600</v>
      </c>
    </row>
    <row r="14" spans="1:7" ht="23.25" x14ac:dyDescent="0.5">
      <c r="A14" s="9" t="s">
        <v>44</v>
      </c>
      <c r="B14" s="9" t="s">
        <v>15</v>
      </c>
      <c r="C14" s="12" t="s">
        <v>63</v>
      </c>
      <c r="D14" s="10" t="s">
        <v>67</v>
      </c>
      <c r="E14" s="14">
        <v>15000</v>
      </c>
      <c r="F14" s="14">
        <v>2000</v>
      </c>
      <c r="G14" s="15">
        <v>10000</v>
      </c>
    </row>
    <row r="15" spans="1:7" ht="23.25" x14ac:dyDescent="0.5">
      <c r="A15" s="9" t="s">
        <v>45</v>
      </c>
      <c r="B15" s="9" t="s">
        <v>16</v>
      </c>
      <c r="C15" s="10" t="s">
        <v>62</v>
      </c>
      <c r="D15" s="10" t="s">
        <v>64</v>
      </c>
      <c r="E15" s="14">
        <v>15500</v>
      </c>
      <c r="F15" s="14">
        <v>1500</v>
      </c>
      <c r="G15" s="15">
        <v>6800</v>
      </c>
    </row>
    <row r="16" spans="1:7" ht="23.25" x14ac:dyDescent="0.5">
      <c r="A16" s="9" t="s">
        <v>46</v>
      </c>
      <c r="B16" s="9" t="s">
        <v>17</v>
      </c>
      <c r="C16" s="10" t="s">
        <v>1</v>
      </c>
      <c r="D16" s="10" t="s">
        <v>66</v>
      </c>
      <c r="E16" s="14">
        <v>21000</v>
      </c>
      <c r="F16" s="14">
        <v>2000</v>
      </c>
      <c r="G16" s="15">
        <v>3700</v>
      </c>
    </row>
    <row r="17" spans="1:7" ht="23.25" x14ac:dyDescent="0.5">
      <c r="A17" s="9" t="s">
        <v>47</v>
      </c>
      <c r="B17" s="9" t="s">
        <v>18</v>
      </c>
      <c r="C17" s="10" t="s">
        <v>62</v>
      </c>
      <c r="D17" s="10" t="s">
        <v>65</v>
      </c>
      <c r="E17" s="14">
        <v>15800</v>
      </c>
      <c r="F17" s="14">
        <v>1500</v>
      </c>
      <c r="G17" s="15">
        <v>7300</v>
      </c>
    </row>
    <row r="18" spans="1:7" ht="23.25" x14ac:dyDescent="0.5">
      <c r="A18" s="9" t="s">
        <v>48</v>
      </c>
      <c r="B18" s="9" t="s">
        <v>19</v>
      </c>
      <c r="C18" s="10" t="s">
        <v>1</v>
      </c>
      <c r="D18" s="10" t="s">
        <v>67</v>
      </c>
      <c r="E18" s="14">
        <v>16200</v>
      </c>
      <c r="F18" s="14">
        <v>2000</v>
      </c>
      <c r="G18" s="15">
        <v>6900</v>
      </c>
    </row>
    <row r="19" spans="1:7" ht="23.25" x14ac:dyDescent="0.5">
      <c r="A19" s="9" t="s">
        <v>49</v>
      </c>
      <c r="B19" s="9" t="s">
        <v>20</v>
      </c>
      <c r="C19" s="10" t="s">
        <v>62</v>
      </c>
      <c r="D19" s="10" t="s">
        <v>66</v>
      </c>
      <c r="E19" s="14">
        <v>22000</v>
      </c>
      <c r="F19" s="14">
        <v>1500</v>
      </c>
      <c r="G19" s="15">
        <v>4100</v>
      </c>
    </row>
    <row r="20" spans="1:7" ht="23.25" x14ac:dyDescent="0.5">
      <c r="A20" s="9" t="s">
        <v>50</v>
      </c>
      <c r="B20" s="9" t="s">
        <v>21</v>
      </c>
      <c r="C20" s="10" t="s">
        <v>1</v>
      </c>
      <c r="D20" s="10" t="s">
        <v>65</v>
      </c>
      <c r="E20" s="14">
        <v>15500</v>
      </c>
      <c r="F20" s="14">
        <v>2000</v>
      </c>
      <c r="G20" s="15">
        <v>8100</v>
      </c>
    </row>
    <row r="21" spans="1:7" ht="23.25" x14ac:dyDescent="0.5">
      <c r="A21" s="9" t="s">
        <v>51</v>
      </c>
      <c r="B21" s="9" t="s">
        <v>22</v>
      </c>
      <c r="C21" s="12" t="s">
        <v>62</v>
      </c>
      <c r="D21" s="10" t="s">
        <v>64</v>
      </c>
      <c r="E21" s="14">
        <v>15800</v>
      </c>
      <c r="F21" s="14">
        <v>1500</v>
      </c>
      <c r="G21" s="15">
        <v>7700</v>
      </c>
    </row>
    <row r="22" spans="1:7" ht="23.25" x14ac:dyDescent="0.5">
      <c r="A22" s="9" t="s">
        <v>52</v>
      </c>
      <c r="B22" s="9" t="s">
        <v>23</v>
      </c>
      <c r="C22" s="10" t="s">
        <v>1</v>
      </c>
      <c r="D22" s="10" t="s">
        <v>66</v>
      </c>
      <c r="E22" s="14">
        <v>16000</v>
      </c>
      <c r="F22" s="14">
        <v>2000</v>
      </c>
      <c r="G22" s="15">
        <v>5500</v>
      </c>
    </row>
    <row r="23" spans="1:7" ht="23.25" x14ac:dyDescent="0.5">
      <c r="A23" s="9" t="s">
        <v>53</v>
      </c>
      <c r="B23" s="9" t="s">
        <v>24</v>
      </c>
      <c r="C23" s="12" t="s">
        <v>62</v>
      </c>
      <c r="D23" s="10" t="s">
        <v>67</v>
      </c>
      <c r="E23" s="14">
        <v>20500</v>
      </c>
      <c r="F23" s="14">
        <v>1500</v>
      </c>
      <c r="G23" s="15">
        <v>4200</v>
      </c>
    </row>
    <row r="24" spans="1:7" ht="23.25" x14ac:dyDescent="0.5">
      <c r="A24" s="9" t="s">
        <v>54</v>
      </c>
      <c r="B24" s="9" t="s">
        <v>25</v>
      </c>
      <c r="C24" s="10" t="s">
        <v>1</v>
      </c>
      <c r="D24" s="10" t="s">
        <v>65</v>
      </c>
      <c r="E24" s="14">
        <v>15000</v>
      </c>
      <c r="F24" s="14">
        <v>2000</v>
      </c>
      <c r="G24" s="15">
        <v>8300</v>
      </c>
    </row>
    <row r="25" spans="1:7" ht="23.25" x14ac:dyDescent="0.5">
      <c r="A25" s="9" t="s">
        <v>55</v>
      </c>
      <c r="B25" s="9" t="s">
        <v>26</v>
      </c>
      <c r="C25" s="10" t="s">
        <v>62</v>
      </c>
      <c r="D25" s="10" t="s">
        <v>66</v>
      </c>
      <c r="E25" s="14">
        <v>15500</v>
      </c>
      <c r="F25" s="14">
        <v>1500</v>
      </c>
      <c r="G25" s="15">
        <v>9400</v>
      </c>
    </row>
    <row r="26" spans="1:7" ht="23.25" x14ac:dyDescent="0.5">
      <c r="A26" s="9" t="s">
        <v>56</v>
      </c>
      <c r="B26" s="9" t="s">
        <v>2</v>
      </c>
      <c r="C26" s="10" t="s">
        <v>1</v>
      </c>
      <c r="D26" s="10" t="s">
        <v>64</v>
      </c>
      <c r="E26" s="14">
        <v>22500</v>
      </c>
      <c r="F26" s="14">
        <v>200</v>
      </c>
      <c r="G26" s="15">
        <v>5200</v>
      </c>
    </row>
    <row r="27" spans="1:7" ht="23.25" x14ac:dyDescent="0.5">
      <c r="A27" s="9" t="s">
        <v>57</v>
      </c>
      <c r="B27" s="9" t="s">
        <v>27</v>
      </c>
      <c r="C27" s="10" t="s">
        <v>62</v>
      </c>
      <c r="D27" s="10" t="s">
        <v>65</v>
      </c>
      <c r="E27" s="14">
        <v>15800</v>
      </c>
      <c r="F27" s="14">
        <v>1500</v>
      </c>
      <c r="G27" s="15">
        <v>3800</v>
      </c>
    </row>
    <row r="28" spans="1:7" ht="23.25" x14ac:dyDescent="0.5">
      <c r="A28" s="9" t="s">
        <v>58</v>
      </c>
      <c r="B28" s="9" t="s">
        <v>28</v>
      </c>
      <c r="C28" s="10" t="s">
        <v>1</v>
      </c>
      <c r="D28" s="10" t="s">
        <v>67</v>
      </c>
      <c r="E28" s="14">
        <v>16000</v>
      </c>
      <c r="F28" s="14">
        <v>2500</v>
      </c>
      <c r="G28" s="15">
        <v>7400</v>
      </c>
    </row>
    <row r="29" spans="1:7" ht="23.25" x14ac:dyDescent="0.5">
      <c r="A29" s="9" t="s">
        <v>59</v>
      </c>
      <c r="B29" s="9" t="s">
        <v>29</v>
      </c>
      <c r="C29" s="10" t="s">
        <v>62</v>
      </c>
      <c r="D29" s="10" t="s">
        <v>66</v>
      </c>
      <c r="E29" s="14">
        <v>16200</v>
      </c>
      <c r="F29" s="14">
        <v>2000</v>
      </c>
      <c r="G29" s="15">
        <v>5600</v>
      </c>
    </row>
    <row r="30" spans="1:7" ht="23.25" x14ac:dyDescent="0.5">
      <c r="A30" s="9" t="s">
        <v>60</v>
      </c>
      <c r="B30" s="13" t="s">
        <v>30</v>
      </c>
      <c r="C30" s="10" t="s">
        <v>1</v>
      </c>
      <c r="D30" s="10" t="s">
        <v>65</v>
      </c>
      <c r="E30" s="14">
        <v>21000</v>
      </c>
      <c r="F30" s="14">
        <v>1500</v>
      </c>
      <c r="G30" s="15">
        <v>8000</v>
      </c>
    </row>
    <row r="31" spans="1:7" ht="23.25" x14ac:dyDescent="0.5">
      <c r="A31" s="9" t="s">
        <v>61</v>
      </c>
      <c r="B31" s="13" t="s">
        <v>31</v>
      </c>
      <c r="C31" s="10" t="s">
        <v>63</v>
      </c>
      <c r="D31" s="10" t="s">
        <v>64</v>
      </c>
      <c r="E31" s="14">
        <v>15500</v>
      </c>
      <c r="F31" s="14">
        <v>2500</v>
      </c>
      <c r="G31" s="15">
        <v>6100</v>
      </c>
    </row>
    <row r="32" spans="1:7" x14ac:dyDescent="0.2">
      <c r="A32" s="2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1AF87-F94B-4298-A47F-4B96040D9180}">
  <sheetPr codeName="Sheet2"/>
  <dimension ref="A1:H31"/>
  <sheetViews>
    <sheetView topLeftCell="A4" workbookViewId="0">
      <selection activeCell="I14" sqref="I14"/>
    </sheetView>
  </sheetViews>
  <sheetFormatPr defaultRowHeight="14.25" x14ac:dyDescent="0.2"/>
  <cols>
    <col min="1" max="1" width="10.75" bestFit="1" customWidth="1"/>
    <col min="2" max="2" width="15.625" bestFit="1" customWidth="1"/>
    <col min="3" max="3" width="11.625" bestFit="1" customWidth="1"/>
    <col min="4" max="4" width="13.125" bestFit="1" customWidth="1"/>
    <col min="5" max="5" width="13.875" bestFit="1" customWidth="1"/>
    <col min="6" max="6" width="15.875" bestFit="1" customWidth="1"/>
    <col min="8" max="8" width="11" bestFit="1" customWidth="1"/>
  </cols>
  <sheetData>
    <row r="1" spans="1:8" ht="23.25" x14ac:dyDescent="0.5">
      <c r="A1" s="16" t="s">
        <v>0</v>
      </c>
      <c r="B1" s="16" t="s">
        <v>75</v>
      </c>
      <c r="C1" s="16" t="s">
        <v>76</v>
      </c>
      <c r="D1" s="16" t="s">
        <v>68</v>
      </c>
      <c r="E1" s="16" t="s">
        <v>77</v>
      </c>
      <c r="F1" s="16" t="s">
        <v>78</v>
      </c>
      <c r="G1" s="1"/>
      <c r="H1" s="1"/>
    </row>
    <row r="2" spans="1:8" ht="23.25" x14ac:dyDescent="0.5">
      <c r="A2" s="9" t="s">
        <v>32</v>
      </c>
      <c r="B2" s="17">
        <v>45901</v>
      </c>
      <c r="C2" s="9">
        <v>22</v>
      </c>
      <c r="D2" s="19">
        <v>500</v>
      </c>
      <c r="E2" s="11">
        <v>0</v>
      </c>
      <c r="F2" s="18">
        <v>0</v>
      </c>
      <c r="G2" s="3"/>
      <c r="H2" s="4"/>
    </row>
    <row r="3" spans="1:8" ht="23.25" x14ac:dyDescent="0.5">
      <c r="A3" s="9" t="s">
        <v>33</v>
      </c>
      <c r="B3" s="17">
        <v>45902</v>
      </c>
      <c r="C3" s="9">
        <v>20</v>
      </c>
      <c r="D3" s="19">
        <v>800</v>
      </c>
      <c r="E3" s="11">
        <v>300</v>
      </c>
      <c r="F3" s="18">
        <v>200</v>
      </c>
      <c r="G3" s="3"/>
      <c r="H3" s="4"/>
    </row>
    <row r="4" spans="1:8" ht="23.25" x14ac:dyDescent="0.5">
      <c r="A4" s="9" t="s">
        <v>34</v>
      </c>
      <c r="B4" s="17">
        <v>45903</v>
      </c>
      <c r="C4" s="9">
        <v>22</v>
      </c>
      <c r="D4" s="19">
        <v>1000</v>
      </c>
      <c r="E4" s="11">
        <v>0</v>
      </c>
      <c r="F4" s="18">
        <v>0</v>
      </c>
      <c r="G4" s="3"/>
      <c r="H4" s="4"/>
    </row>
    <row r="5" spans="1:8" ht="23.25" x14ac:dyDescent="0.5">
      <c r="A5" s="9" t="s">
        <v>35</v>
      </c>
      <c r="B5" s="17">
        <v>45904</v>
      </c>
      <c r="C5" s="9">
        <v>21</v>
      </c>
      <c r="D5" s="19">
        <v>500</v>
      </c>
      <c r="E5" s="11">
        <v>200</v>
      </c>
      <c r="F5" s="18">
        <v>100</v>
      </c>
      <c r="G5" s="3"/>
      <c r="H5" s="4"/>
    </row>
    <row r="6" spans="1:8" ht="23.25" x14ac:dyDescent="0.5">
      <c r="A6" s="9" t="s">
        <v>36</v>
      </c>
      <c r="B6" s="17">
        <v>45905</v>
      </c>
      <c r="C6" s="9">
        <v>22</v>
      </c>
      <c r="D6" s="19">
        <v>300</v>
      </c>
      <c r="E6" s="11">
        <v>0</v>
      </c>
      <c r="F6" s="18">
        <v>0</v>
      </c>
      <c r="G6" s="3"/>
      <c r="H6" s="4"/>
    </row>
    <row r="7" spans="1:8" ht="23.25" x14ac:dyDescent="0.5">
      <c r="A7" s="9" t="s">
        <v>37</v>
      </c>
      <c r="B7" s="17">
        <v>45906</v>
      </c>
      <c r="C7" s="9">
        <v>20</v>
      </c>
      <c r="D7" s="19">
        <v>1000</v>
      </c>
      <c r="E7" s="11">
        <v>500</v>
      </c>
      <c r="F7" s="18">
        <v>0</v>
      </c>
      <c r="G7" s="3"/>
      <c r="H7" s="4"/>
    </row>
    <row r="8" spans="1:8" ht="23.25" x14ac:dyDescent="0.5">
      <c r="A8" s="9" t="s">
        <v>38</v>
      </c>
      <c r="B8" s="17">
        <v>45907</v>
      </c>
      <c r="C8" s="9">
        <v>22</v>
      </c>
      <c r="D8" s="19">
        <v>400</v>
      </c>
      <c r="E8" s="11">
        <v>0</v>
      </c>
      <c r="F8" s="18">
        <v>200</v>
      </c>
      <c r="G8" s="3"/>
      <c r="H8" s="4"/>
    </row>
    <row r="9" spans="1:8" ht="23.25" x14ac:dyDescent="0.5">
      <c r="A9" s="9" t="s">
        <v>39</v>
      </c>
      <c r="B9" s="17">
        <v>45908</v>
      </c>
      <c r="C9" s="9">
        <v>21</v>
      </c>
      <c r="D9" s="19">
        <v>200</v>
      </c>
      <c r="E9" s="11">
        <v>100</v>
      </c>
      <c r="F9" s="18">
        <v>0</v>
      </c>
      <c r="G9" s="3"/>
      <c r="H9" s="4"/>
    </row>
    <row r="10" spans="1:8" ht="23.25" x14ac:dyDescent="0.5">
      <c r="A10" s="9" t="s">
        <v>40</v>
      </c>
      <c r="B10" s="17">
        <v>45909</v>
      </c>
      <c r="C10" s="9">
        <v>22</v>
      </c>
      <c r="D10" s="19">
        <v>600</v>
      </c>
      <c r="E10" s="11">
        <v>0</v>
      </c>
      <c r="F10" s="18">
        <v>0</v>
      </c>
      <c r="G10" s="3"/>
      <c r="H10" s="4"/>
    </row>
    <row r="11" spans="1:8" ht="23.25" x14ac:dyDescent="0.5">
      <c r="A11" s="9" t="s">
        <v>41</v>
      </c>
      <c r="B11" s="17">
        <v>45910</v>
      </c>
      <c r="C11" s="9">
        <v>22</v>
      </c>
      <c r="D11" s="19">
        <v>300</v>
      </c>
      <c r="E11" s="11">
        <v>150</v>
      </c>
      <c r="F11" s="18">
        <v>0</v>
      </c>
      <c r="G11" s="3"/>
      <c r="H11" s="4"/>
    </row>
    <row r="12" spans="1:8" ht="23.25" x14ac:dyDescent="0.5">
      <c r="A12" s="9" t="s">
        <v>42</v>
      </c>
      <c r="B12" s="17">
        <v>45911</v>
      </c>
      <c r="C12" s="9">
        <v>22</v>
      </c>
      <c r="D12" s="19">
        <v>500</v>
      </c>
      <c r="E12" s="11">
        <v>0</v>
      </c>
      <c r="F12" s="18">
        <v>100</v>
      </c>
      <c r="G12" s="3"/>
      <c r="H12" s="4"/>
    </row>
    <row r="13" spans="1:8" ht="23.25" x14ac:dyDescent="0.5">
      <c r="A13" s="9" t="s">
        <v>43</v>
      </c>
      <c r="B13" s="17">
        <v>45912</v>
      </c>
      <c r="C13" s="9">
        <v>21</v>
      </c>
      <c r="D13" s="19">
        <v>700</v>
      </c>
      <c r="E13" s="11">
        <v>200</v>
      </c>
      <c r="F13" s="18">
        <v>0</v>
      </c>
      <c r="G13" s="3"/>
      <c r="H13" s="4"/>
    </row>
    <row r="14" spans="1:8" ht="23.25" x14ac:dyDescent="0.5">
      <c r="A14" s="9" t="s">
        <v>44</v>
      </c>
      <c r="B14" s="17">
        <v>45913</v>
      </c>
      <c r="C14" s="9">
        <v>22</v>
      </c>
      <c r="D14" s="19">
        <v>1000</v>
      </c>
      <c r="E14" s="11">
        <v>0</v>
      </c>
      <c r="F14" s="18">
        <v>0</v>
      </c>
      <c r="G14" s="3"/>
      <c r="H14" s="4"/>
    </row>
    <row r="15" spans="1:8" ht="23.25" x14ac:dyDescent="0.5">
      <c r="A15" s="9" t="s">
        <v>45</v>
      </c>
      <c r="B15" s="17">
        <v>45914</v>
      </c>
      <c r="C15" s="9">
        <v>22</v>
      </c>
      <c r="D15" s="19">
        <v>500</v>
      </c>
      <c r="E15" s="11">
        <v>0</v>
      </c>
      <c r="F15" s="18">
        <v>300</v>
      </c>
      <c r="G15" s="3"/>
      <c r="H15" s="4"/>
    </row>
    <row r="16" spans="1:8" ht="23.25" x14ac:dyDescent="0.5">
      <c r="A16" s="9" t="s">
        <v>46</v>
      </c>
      <c r="B16" s="17">
        <v>45915</v>
      </c>
      <c r="C16" s="9">
        <v>21</v>
      </c>
      <c r="D16" s="19">
        <v>400</v>
      </c>
      <c r="E16" s="11">
        <v>150</v>
      </c>
      <c r="F16" s="18">
        <v>100</v>
      </c>
      <c r="G16" s="3"/>
      <c r="H16" s="4"/>
    </row>
    <row r="17" spans="1:8" ht="23.25" x14ac:dyDescent="0.5">
      <c r="A17" s="9" t="s">
        <v>47</v>
      </c>
      <c r="B17" s="17">
        <v>45916</v>
      </c>
      <c r="C17" s="9">
        <v>22</v>
      </c>
      <c r="D17" s="19">
        <v>600</v>
      </c>
      <c r="E17" s="11">
        <v>0</v>
      </c>
      <c r="F17" s="18">
        <v>0</v>
      </c>
      <c r="G17" s="3"/>
      <c r="H17" s="4"/>
    </row>
    <row r="18" spans="1:8" ht="23.25" x14ac:dyDescent="0.5">
      <c r="A18" s="9" t="s">
        <v>48</v>
      </c>
      <c r="B18" s="17">
        <v>45917</v>
      </c>
      <c r="C18" s="9">
        <v>22</v>
      </c>
      <c r="D18" s="19">
        <v>300</v>
      </c>
      <c r="E18" s="11">
        <v>0</v>
      </c>
      <c r="F18" s="18">
        <v>200</v>
      </c>
      <c r="G18" s="3"/>
      <c r="H18" s="4"/>
    </row>
    <row r="19" spans="1:8" ht="23.25" x14ac:dyDescent="0.5">
      <c r="A19" s="9" t="s">
        <v>49</v>
      </c>
      <c r="B19" s="17">
        <v>45918</v>
      </c>
      <c r="C19" s="9">
        <v>22</v>
      </c>
      <c r="D19" s="19">
        <v>500</v>
      </c>
      <c r="E19" s="11">
        <v>100</v>
      </c>
      <c r="F19" s="18">
        <v>0</v>
      </c>
      <c r="G19" s="3"/>
      <c r="H19" s="4"/>
    </row>
    <row r="20" spans="1:8" ht="23.25" x14ac:dyDescent="0.5">
      <c r="A20" s="9" t="s">
        <v>50</v>
      </c>
      <c r="B20" s="17">
        <v>45919</v>
      </c>
      <c r="C20" s="9">
        <v>21</v>
      </c>
      <c r="D20" s="19">
        <v>400</v>
      </c>
      <c r="E20" s="11">
        <v>0</v>
      </c>
      <c r="F20" s="18">
        <v>150</v>
      </c>
      <c r="G20" s="3"/>
      <c r="H20" s="4"/>
    </row>
    <row r="21" spans="1:8" ht="23.25" x14ac:dyDescent="0.5">
      <c r="A21" s="9" t="s">
        <v>51</v>
      </c>
      <c r="B21" s="17">
        <v>45920</v>
      </c>
      <c r="C21" s="9">
        <v>22</v>
      </c>
      <c r="D21" s="19">
        <v>600</v>
      </c>
      <c r="E21" s="11">
        <v>0</v>
      </c>
      <c r="F21" s="18">
        <v>0</v>
      </c>
      <c r="G21" s="3"/>
      <c r="H21" s="4"/>
    </row>
    <row r="22" spans="1:8" ht="23.25" x14ac:dyDescent="0.5">
      <c r="A22" s="9" t="s">
        <v>52</v>
      </c>
      <c r="B22" s="17">
        <v>45921</v>
      </c>
      <c r="C22" s="9">
        <v>22</v>
      </c>
      <c r="D22" s="19">
        <v>500</v>
      </c>
      <c r="E22" s="11">
        <v>200</v>
      </c>
      <c r="F22" s="18">
        <v>0</v>
      </c>
      <c r="G22" s="3"/>
      <c r="H22" s="4"/>
    </row>
    <row r="23" spans="1:8" ht="23.25" x14ac:dyDescent="0.5">
      <c r="A23" s="9" t="s">
        <v>53</v>
      </c>
      <c r="B23" s="17">
        <v>45922</v>
      </c>
      <c r="C23" s="9">
        <v>21</v>
      </c>
      <c r="D23" s="19">
        <v>400</v>
      </c>
      <c r="E23" s="11">
        <v>0</v>
      </c>
      <c r="F23" s="18">
        <v>100</v>
      </c>
      <c r="G23" s="3"/>
      <c r="H23" s="4"/>
    </row>
    <row r="24" spans="1:8" ht="23.25" x14ac:dyDescent="0.5">
      <c r="A24" s="9" t="s">
        <v>54</v>
      </c>
      <c r="B24" s="17">
        <v>45923</v>
      </c>
      <c r="C24" s="9">
        <v>22</v>
      </c>
      <c r="D24" s="19">
        <v>300</v>
      </c>
      <c r="E24" s="11">
        <v>150</v>
      </c>
      <c r="F24" s="18">
        <v>0</v>
      </c>
      <c r="G24" s="3"/>
      <c r="H24" s="4"/>
    </row>
    <row r="25" spans="1:8" ht="23.25" x14ac:dyDescent="0.5">
      <c r="A25" s="9" t="s">
        <v>55</v>
      </c>
      <c r="B25" s="17">
        <v>45924</v>
      </c>
      <c r="C25" s="9">
        <v>22</v>
      </c>
      <c r="D25" s="19">
        <v>500</v>
      </c>
      <c r="E25" s="11">
        <v>0</v>
      </c>
      <c r="F25" s="18">
        <v>200</v>
      </c>
      <c r="G25" s="3"/>
      <c r="H25" s="4"/>
    </row>
    <row r="26" spans="1:8" ht="23.25" x14ac:dyDescent="0.5">
      <c r="A26" s="9" t="s">
        <v>56</v>
      </c>
      <c r="B26" s="17">
        <v>45925</v>
      </c>
      <c r="C26" s="9">
        <v>24</v>
      </c>
      <c r="D26" s="19">
        <v>400</v>
      </c>
      <c r="E26" s="11">
        <v>100</v>
      </c>
      <c r="F26" s="18">
        <v>0</v>
      </c>
      <c r="G26" s="3"/>
      <c r="H26" s="4"/>
    </row>
    <row r="27" spans="1:8" ht="23.25" x14ac:dyDescent="0.5">
      <c r="A27" s="9" t="s">
        <v>57</v>
      </c>
      <c r="B27" s="17">
        <v>45926</v>
      </c>
      <c r="C27" s="9">
        <v>22</v>
      </c>
      <c r="D27" s="19">
        <v>500</v>
      </c>
      <c r="E27" s="11">
        <v>0</v>
      </c>
      <c r="F27" s="18">
        <v>0</v>
      </c>
      <c r="G27" s="3"/>
      <c r="H27" s="4"/>
    </row>
    <row r="28" spans="1:8" ht="23.25" x14ac:dyDescent="0.5">
      <c r="A28" s="9" t="s">
        <v>58</v>
      </c>
      <c r="B28" s="17">
        <v>45927</v>
      </c>
      <c r="C28" s="9">
        <v>22</v>
      </c>
      <c r="D28" s="19">
        <v>300</v>
      </c>
      <c r="E28" s="11">
        <v>0</v>
      </c>
      <c r="F28" s="18">
        <v>250</v>
      </c>
      <c r="G28" s="3"/>
      <c r="H28" s="4"/>
    </row>
    <row r="29" spans="1:8" ht="23.25" x14ac:dyDescent="0.5">
      <c r="A29" s="9" t="s">
        <v>59</v>
      </c>
      <c r="B29" s="17">
        <v>45928</v>
      </c>
      <c r="C29" s="9">
        <v>24</v>
      </c>
      <c r="D29" s="19">
        <v>400</v>
      </c>
      <c r="E29" s="11">
        <v>150</v>
      </c>
      <c r="F29" s="18">
        <v>0</v>
      </c>
      <c r="G29" s="3"/>
      <c r="H29" s="4"/>
    </row>
    <row r="30" spans="1:8" ht="23.25" x14ac:dyDescent="0.5">
      <c r="A30" s="9" t="s">
        <v>60</v>
      </c>
      <c r="B30" s="17">
        <v>45929</v>
      </c>
      <c r="C30" s="9">
        <v>22</v>
      </c>
      <c r="D30" s="19">
        <v>500</v>
      </c>
      <c r="E30" s="11">
        <v>0</v>
      </c>
      <c r="F30" s="18">
        <v>200</v>
      </c>
      <c r="G30" s="3"/>
      <c r="H30" s="4"/>
    </row>
    <row r="31" spans="1:8" ht="23.25" x14ac:dyDescent="0.5">
      <c r="A31" s="9" t="s">
        <v>61</v>
      </c>
      <c r="B31" s="17">
        <v>45930</v>
      </c>
      <c r="C31" s="9">
        <v>22</v>
      </c>
      <c r="D31" s="19">
        <v>100</v>
      </c>
      <c r="E31" s="11">
        <v>0</v>
      </c>
      <c r="F31" s="18">
        <v>0</v>
      </c>
      <c r="G31" s="3"/>
      <c r="H3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EC736-3AE3-497F-8531-1038BFD894E9}">
  <sheetPr codeName="Sheet3"/>
  <dimension ref="A1:D19"/>
  <sheetViews>
    <sheetView zoomScale="115" zoomScaleNormal="115" workbookViewId="0">
      <selection activeCell="J12" sqref="J12"/>
    </sheetView>
  </sheetViews>
  <sheetFormatPr defaultRowHeight="14.25" x14ac:dyDescent="0.2"/>
  <cols>
    <col min="1" max="1" width="26.5" bestFit="1" customWidth="1"/>
    <col min="2" max="2" width="36.75" bestFit="1" customWidth="1"/>
  </cols>
  <sheetData>
    <row r="1" spans="1:4" ht="64.5" customHeight="1" x14ac:dyDescent="0.2">
      <c r="A1" s="20" t="s">
        <v>69</v>
      </c>
      <c r="B1" s="20"/>
    </row>
    <row r="2" spans="1:4" ht="30" customHeight="1" x14ac:dyDescent="0.7">
      <c r="A2" s="21" t="s">
        <v>80</v>
      </c>
      <c r="B2" s="22" t="s">
        <v>2</v>
      </c>
      <c r="C2" s="5"/>
      <c r="D2" s="5"/>
    </row>
    <row r="3" spans="1:4" ht="32.25" customHeight="1" x14ac:dyDescent="0.7">
      <c r="A3" s="21" t="s">
        <v>81</v>
      </c>
      <c r="B3" s="23" t="s">
        <v>1</v>
      </c>
    </row>
    <row r="4" spans="1:4" ht="33.75" customHeight="1" x14ac:dyDescent="0.7">
      <c r="A4" s="21" t="s">
        <v>82</v>
      </c>
      <c r="B4" s="23" t="s">
        <v>64</v>
      </c>
    </row>
    <row r="5" spans="1:4" ht="32.25" customHeight="1" x14ac:dyDescent="0.7">
      <c r="A5" s="21" t="s">
        <v>83</v>
      </c>
      <c r="B5" s="24">
        <v>22500</v>
      </c>
    </row>
    <row r="6" spans="1:4" ht="31.5" customHeight="1" x14ac:dyDescent="0.7">
      <c r="A6" s="21" t="s">
        <v>84</v>
      </c>
      <c r="B6" s="24">
        <v>400</v>
      </c>
    </row>
    <row r="7" spans="1:4" ht="34.5" customHeight="1" x14ac:dyDescent="0.7">
      <c r="A7" s="21" t="s">
        <v>85</v>
      </c>
      <c r="B7" s="24">
        <v>200</v>
      </c>
    </row>
    <row r="8" spans="1:4" ht="34.5" customHeight="1" x14ac:dyDescent="0.7">
      <c r="A8" s="21" t="s">
        <v>86</v>
      </c>
      <c r="B8" s="24">
        <v>100</v>
      </c>
    </row>
    <row r="9" spans="1:4" ht="33" customHeight="1" x14ac:dyDescent="0.7">
      <c r="A9" s="21" t="s">
        <v>87</v>
      </c>
      <c r="B9" s="24">
        <v>0</v>
      </c>
    </row>
    <row r="10" spans="1:4" ht="34.5" customHeight="1" x14ac:dyDescent="0.7">
      <c r="A10" s="21" t="s">
        <v>88</v>
      </c>
      <c r="B10" s="25">
        <v>5200</v>
      </c>
    </row>
    <row r="11" spans="1:4" ht="36" customHeight="1" x14ac:dyDescent="0.7">
      <c r="A11" s="21" t="s">
        <v>89</v>
      </c>
      <c r="B11" s="25">
        <f>B5+B6+B7+B10-B8-B9</f>
        <v>28200</v>
      </c>
    </row>
    <row r="12" spans="1:4" ht="33" customHeight="1" x14ac:dyDescent="0.7">
      <c r="A12" s="26" t="s">
        <v>90</v>
      </c>
      <c r="B12" s="27" t="str">
        <f>BAHTTEXT(B11)</f>
        <v>สองหมื่นแปดพันสองร้อยบาทถ้วน</v>
      </c>
    </row>
    <row r="13" spans="1:4" ht="15" x14ac:dyDescent="0.2">
      <c r="A13" s="6"/>
      <c r="B13" s="7"/>
    </row>
    <row r="14" spans="1:4" x14ac:dyDescent="0.2">
      <c r="B14" s="2"/>
    </row>
    <row r="15" spans="1:4" ht="15" x14ac:dyDescent="0.2">
      <c r="A15" s="6"/>
      <c r="B15" s="2"/>
    </row>
    <row r="16" spans="1:4" x14ac:dyDescent="0.2">
      <c r="B16" s="2"/>
    </row>
    <row r="17" spans="1:1" ht="15" x14ac:dyDescent="0.2">
      <c r="A17" s="6"/>
    </row>
    <row r="19" spans="1:1" ht="15" x14ac:dyDescent="0.2">
      <c r="A19" s="6"/>
    </row>
  </sheetData>
  <mergeCells count="1">
    <mergeCell ref="A1:B1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4" name="Button 17">
              <controlPr defaultSize="0" print="0" autoFill="0" autoPict="0" macro="[0]!GeneratePayslip_pdf">
                <anchor moveWithCells="1" sizeWithCells="1">
                  <from>
                    <xdr:col>5</xdr:col>
                    <xdr:colOff>38100</xdr:colOff>
                    <xdr:row>5</xdr:row>
                    <xdr:rowOff>161925</xdr:rowOff>
                  </from>
                  <to>
                    <xdr:col>7</xdr:col>
                    <xdr:colOff>285750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Button 18">
              <controlPr defaultSize="0" print="0" autoFill="0" autoPict="0" macro="[0]!GeneratePayslip">
                <anchor moveWithCells="1" sizeWithCells="1">
                  <from>
                    <xdr:col>5</xdr:col>
                    <xdr:colOff>9525</xdr:colOff>
                    <xdr:row>3</xdr:row>
                    <xdr:rowOff>19050</xdr:rowOff>
                  </from>
                  <to>
                    <xdr:col>7</xdr:col>
                    <xdr:colOff>285750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6" name="Button 20">
              <controlPr defaultSize="0" print="0" autoFill="0" autoPict="0" macro="[0]!ClearSlip">
                <anchor moveWithCells="1" sizeWithCells="1">
                  <from>
                    <xdr:col>5</xdr:col>
                    <xdr:colOff>47625</xdr:colOff>
                    <xdr:row>7</xdr:row>
                    <xdr:rowOff>238125</xdr:rowOff>
                  </from>
                  <to>
                    <xdr:col>7</xdr:col>
                    <xdr:colOff>295275</xdr:colOff>
                    <xdr:row>8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334A-AF8F-4E40-AE21-39E44C99BF50}">
  <sheetPr codeName="Sheet4"/>
  <dimension ref="A1:C5"/>
  <sheetViews>
    <sheetView tabSelected="1" workbookViewId="0">
      <selection activeCell="F7" sqref="F7"/>
    </sheetView>
  </sheetViews>
  <sheetFormatPr defaultRowHeight="14.25" x14ac:dyDescent="0.2"/>
  <cols>
    <col min="1" max="1" width="21.75" customWidth="1"/>
    <col min="2" max="2" width="40.375" customWidth="1"/>
    <col min="3" max="3" width="18.625" customWidth="1"/>
  </cols>
  <sheetData>
    <row r="1" spans="1:3" ht="31.5" x14ac:dyDescent="0.65">
      <c r="A1" s="30" t="s">
        <v>94</v>
      </c>
      <c r="B1" s="30"/>
      <c r="C1" s="30"/>
    </row>
    <row r="2" spans="1:3" ht="31.5" x14ac:dyDescent="0.65">
      <c r="A2" s="28" t="s">
        <v>91</v>
      </c>
      <c r="B2" s="28" t="s">
        <v>92</v>
      </c>
      <c r="C2" s="28" t="s">
        <v>93</v>
      </c>
    </row>
    <row r="3" spans="1:3" ht="31.5" x14ac:dyDescent="0.65">
      <c r="A3" s="29">
        <v>6630202449</v>
      </c>
      <c r="B3" s="29" t="s">
        <v>96</v>
      </c>
      <c r="C3" s="29">
        <v>800</v>
      </c>
    </row>
    <row r="4" spans="1:3" ht="31.5" x14ac:dyDescent="0.65">
      <c r="A4" s="29">
        <v>6630202601</v>
      </c>
      <c r="B4" s="29" t="s">
        <v>95</v>
      </c>
      <c r="C4" s="29">
        <v>800</v>
      </c>
    </row>
    <row r="5" spans="1:3" ht="31.5" x14ac:dyDescent="0.65">
      <c r="A5" s="29">
        <v>6630202147</v>
      </c>
      <c r="B5" s="29" t="s">
        <v>97</v>
      </c>
      <c r="C5" s="29">
        <v>800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MasterData</vt:lpstr>
      <vt:lpstr>SalaryData</vt:lpstr>
      <vt:lpstr>SlipTemplate</vt:lpstr>
      <vt:lpstr>สมาชิก</vt:lpstr>
      <vt:lpstr>SlipTemplate!Print_Area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Butsakorn WATTAKEE</dc:creator>
  <cp:lastModifiedBy>Butsakorn WATTAKEE</cp:lastModifiedBy>
  <cp:lastPrinted>2025-09-22T13:56:48Z</cp:lastPrinted>
  <dcterms:created xsi:type="dcterms:W3CDTF">2025-09-22T08:24:37Z</dcterms:created>
  <dcterms:modified xsi:type="dcterms:W3CDTF">2025-09-22T14:02:33Z</dcterms:modified>
</cp:coreProperties>
</file>